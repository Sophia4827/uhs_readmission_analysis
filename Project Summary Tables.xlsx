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s 1 and 2" sheetId="1" r:id="rId5"/>
    <sheet state="visible" name="Feature Engineering" sheetId="2" r:id="rId6"/>
    <sheet state="visible" name="Phase 3" sheetId="3" r:id="rId7"/>
  </sheets>
  <definedNames/>
  <calcPr/>
</workbook>
</file>

<file path=xl/sharedStrings.xml><?xml version="1.0" encoding="utf-8"?>
<sst xmlns="http://schemas.openxmlformats.org/spreadsheetml/2006/main" count="129" uniqueCount="109">
  <si>
    <t>Table 1: Readmission Overview By MDC, Risk Level, Age, and SDOH</t>
  </si>
  <si>
    <t>Category</t>
  </si>
  <si>
    <t>Subgroup</t>
  </si>
  <si>
    <t>% of Patients</t>
  </si>
  <si>
    <t>% of Subgroup Readmitted</t>
  </si>
  <si>
    <t>N (subgroup)*</t>
  </si>
  <si>
    <t>AgeGroup</t>
  </si>
  <si>
    <t>18-39</t>
  </si>
  <si>
    <t>40-49</t>
  </si>
  <si>
    <t>50-59</t>
  </si>
  <si>
    <t>60-69</t>
  </si>
  <si>
    <t>70-79</t>
  </si>
  <si>
    <t>80+</t>
  </si>
  <si>
    <t>MDCCategory</t>
  </si>
  <si>
    <t>PN</t>
  </si>
  <si>
    <t>HF</t>
  </si>
  <si>
    <t>AMI</t>
  </si>
  <si>
    <t>CABG</t>
  </si>
  <si>
    <t>Stroke</t>
  </si>
  <si>
    <t>Sepsis</t>
  </si>
  <si>
    <t>HipKnee</t>
  </si>
  <si>
    <t>COPD</t>
  </si>
  <si>
    <t>Risk Level</t>
  </si>
  <si>
    <t>Low</t>
  </si>
  <si>
    <t>Medium</t>
  </si>
  <si>
    <t>High</t>
  </si>
  <si>
    <t>SDOH</t>
  </si>
  <si>
    <t>Alcohol Use</t>
  </si>
  <si>
    <t>Depression</t>
  </si>
  <si>
    <t>Financial Strain</t>
  </si>
  <si>
    <t>Food Insecurtiy</t>
  </si>
  <si>
    <t>Health Literacy</t>
  </si>
  <si>
    <t>Housing Instability</t>
  </si>
  <si>
    <t>Intimate Partner Violence</t>
  </si>
  <si>
    <t>Low Physical Activity</t>
  </si>
  <si>
    <t>Social Isolation</t>
  </si>
  <si>
    <t>Stress/Anxiety</t>
  </si>
  <si>
    <t>Tobacco Use</t>
  </si>
  <si>
    <t>Transportation Barriers</t>
  </si>
  <si>
    <t>Financial Utility Strain</t>
  </si>
  <si>
    <t xml:space="preserve">Table 2: Treatment Prevalence </t>
  </si>
  <si>
    <t>Count (N)</t>
  </si>
  <si>
    <t>MedsPriorToDC</t>
  </si>
  <si>
    <t>Received Meds</t>
  </si>
  <si>
    <t>Did Not Receive Meds</t>
  </si>
  <si>
    <t>TOC Consult</t>
  </si>
  <si>
    <t>Received Consult</t>
  </si>
  <si>
    <t>No Consult</t>
  </si>
  <si>
    <t>TCM Visit TIming</t>
  </si>
  <si>
    <t>No TCM Recorded</t>
  </si>
  <si>
    <t>-</t>
  </si>
  <si>
    <t>TCM 0-7 Days</t>
  </si>
  <si>
    <t>TCM 8-14 Days</t>
  </si>
  <si>
    <t>TCM 15-30 Days</t>
  </si>
  <si>
    <t>Table 3: Balance Diagnostics</t>
  </si>
  <si>
    <t>Variable</t>
  </si>
  <si>
    <t>Treated Patients Mean</t>
  </si>
  <si>
    <t>Untreated Partients Mean</t>
  </si>
  <si>
    <t>SMD (pre-weighting)</t>
  </si>
  <si>
    <t>SMD (post-weighting)</t>
  </si>
  <si>
    <t>Risk Score</t>
  </si>
  <si>
    <t>SDOH Score</t>
  </si>
  <si>
    <t>Table 1: SDOH Feature Engineering</t>
  </si>
  <si>
    <t>Includes</t>
  </si>
  <si>
    <t>SDOH Score %</t>
  </si>
  <si>
    <t>SDOH Cluster</t>
  </si>
  <si>
    <t>SDOH Cluster %</t>
  </si>
  <si>
    <t>Behavior</t>
  </si>
  <si>
    <t>Alcohol, Phyiscal Activity, Tobacco</t>
  </si>
  <si>
    <t>Mental</t>
  </si>
  <si>
    <t>Depression, Stress, Social, Partner Violence</t>
  </si>
  <si>
    <t>Financial</t>
  </si>
  <si>
    <t>Resource Strain, Utilities, Food, Housing</t>
  </si>
  <si>
    <t>Access</t>
  </si>
  <si>
    <t>Health Literacy, Transportation Needs</t>
  </si>
  <si>
    <t>Table 2: More Feature Engineering</t>
  </si>
  <si>
    <t>Compounded Vulnerabilities</t>
  </si>
  <si>
    <t>SVI x Isolation</t>
  </si>
  <si>
    <t>Isolation is a key indicator in low SVI patients</t>
  </si>
  <si>
    <t>Isolation x Elderly</t>
  </si>
  <si>
    <t>Isolation affects younger patients more than elderly patients</t>
  </si>
  <si>
    <t>Housing Instability x Substance Use</t>
  </si>
  <si>
    <t>No significant interation between housing instability and substance use</t>
  </si>
  <si>
    <t>Table 1: Primary Model Results</t>
  </si>
  <si>
    <t>Coefficient</t>
  </si>
  <si>
    <t>Odds Ratio</t>
  </si>
  <si>
    <t>CI Lower</t>
  </si>
  <si>
    <t>CI Upper</t>
  </si>
  <si>
    <t>p-value</t>
  </si>
  <si>
    <t>const</t>
  </si>
  <si>
    <t>AnchorStayMedsPriorToDC</t>
  </si>
  <si>
    <t>*intervention</t>
  </si>
  <si>
    <t>AnchorStayTOCConsult</t>
  </si>
  <si>
    <t>TCM_7d</t>
  </si>
  <si>
    <t>ReadmissionRiskValue</t>
  </si>
  <si>
    <t>SDOH MCA Score</t>
  </si>
  <si>
    <t>MDC_AMI</t>
  </si>
  <si>
    <t>MDC_CABG</t>
  </si>
  <si>
    <t>MDC_COPD</t>
  </si>
  <si>
    <t>MDC_HF</t>
  </si>
  <si>
    <t>MDC_HipKnee</t>
  </si>
  <si>
    <t>MDC_PN</t>
  </si>
  <si>
    <t>MDC_Stroke</t>
  </si>
  <si>
    <t>Table 2: Clustering Results</t>
  </si>
  <si>
    <t>P-Value</t>
  </si>
  <si>
    <t>% Increase In Odds</t>
  </si>
  <si>
    <t>Cluster 0</t>
  </si>
  <si>
    <t>Cluster 2</t>
  </si>
  <si>
    <t>Cluster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</si>
</sst>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8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1F1F1F"/>
      <name val="Arial"/>
    </font>
    <font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356854"/>
        <bgColor rgb="FF356854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C4C7C5"/>
      </left>
      <right style="thin">
        <color rgb="FFC4C7C5"/>
      </right>
      <bottom style="thin">
        <color rgb="FFC4C7C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3" fontId="2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0" xfId="0" applyAlignment="1" applyFont="1" applyNumberFormat="1">
      <alignment readingOrder="0"/>
    </xf>
    <xf borderId="0" fillId="4" fontId="5" numFmtId="0" xfId="0" applyFill="1" applyFont="1"/>
    <xf borderId="0" fillId="4" fontId="5" numFmtId="0" xfId="0" applyAlignment="1" applyFont="1">
      <alignment readingOrder="0"/>
    </xf>
    <xf borderId="0" fillId="4" fontId="5" numFmtId="10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2" fontId="5" numFmtId="0" xfId="0" applyFont="1"/>
    <xf borderId="0" fillId="0" fontId="4" numFmtId="3" xfId="0" applyAlignment="1" applyFont="1" applyNumberFormat="1">
      <alignment readingOrder="0"/>
    </xf>
    <xf borderId="1" fillId="0" fontId="6" numFmtId="0" xfId="0" applyAlignment="1" applyBorder="1" applyFont="1">
      <alignment readingOrder="0" shrinkToFit="0" vertical="top" wrapText="0"/>
    </xf>
    <xf borderId="1" fillId="0" fontId="7" numFmtId="164" xfId="0" applyAlignment="1" applyBorder="1" applyFont="1" applyNumberFormat="1">
      <alignment horizontal="right" readingOrder="0" shrinkToFit="0" vertical="top" wrapText="0"/>
    </xf>
    <xf borderId="1" fillId="0" fontId="7" numFmtId="11" xfId="0" applyAlignment="1" applyBorder="1" applyFont="1" applyNumberFormat="1">
      <alignment horizontal="right" readingOrder="0" shrinkToFit="0" vertical="top" wrapText="0"/>
    </xf>
    <xf borderId="1" fillId="2" fontId="7" numFmtId="164" xfId="0" applyAlignment="1" applyBorder="1" applyFont="1" applyNumberFormat="1">
      <alignment horizontal="right" readingOrder="0" shrinkToFit="0" vertical="top" wrapText="0"/>
    </xf>
    <xf borderId="1" fillId="5" fontId="7" numFmtId="164" xfId="0" applyAlignment="1" applyBorder="1" applyFill="1" applyFont="1" applyNumberFormat="1">
      <alignment horizontal="right" readingOrder="0" shrinkToFit="0" vertical="top" wrapText="0"/>
    </xf>
    <xf borderId="0" fillId="6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23</xdr:row>
      <xdr:rowOff>104775</xdr:rowOff>
    </xdr:from>
    <xdr:ext cx="8801100" cy="3524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3.0"/>
    <col customWidth="1" min="3" max="3" width="23.13"/>
    <col customWidth="1" min="4" max="4" width="28.5"/>
    <col customWidth="1" min="5" max="5" width="21.6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</v>
      </c>
      <c r="B3" s="6" t="s">
        <v>7</v>
      </c>
      <c r="C3" s="7">
        <v>0.02</v>
      </c>
      <c r="D3" s="7">
        <v>0.0727</v>
      </c>
      <c r="E3" s="6">
        <v>220.0</v>
      </c>
    </row>
    <row r="4">
      <c r="B4" s="6" t="s">
        <v>8</v>
      </c>
      <c r="C4" s="7">
        <v>0.0387</v>
      </c>
      <c r="D4" s="7">
        <v>0.1051</v>
      </c>
      <c r="E4" s="6">
        <v>295.0</v>
      </c>
    </row>
    <row r="5">
      <c r="B5" s="6" t="s">
        <v>9</v>
      </c>
      <c r="C5" s="7">
        <v>0.0799</v>
      </c>
      <c r="D5" s="7">
        <v>0.1219</v>
      </c>
      <c r="E5" s="6">
        <v>525.0</v>
      </c>
    </row>
    <row r="6">
      <c r="B6" s="6" t="s">
        <v>10</v>
      </c>
      <c r="C6" s="7">
        <v>0.2372</v>
      </c>
      <c r="D6" s="7">
        <v>0.1594</v>
      </c>
      <c r="E6" s="6">
        <v>1192.0</v>
      </c>
    </row>
    <row r="7">
      <c r="B7" s="6" t="s">
        <v>11</v>
      </c>
      <c r="C7" s="7">
        <v>0.2921</v>
      </c>
      <c r="D7" s="7">
        <v>0.1626</v>
      </c>
      <c r="E7" s="6">
        <v>1439.0</v>
      </c>
    </row>
    <row r="8">
      <c r="B8" s="6" t="s">
        <v>12</v>
      </c>
      <c r="C8" s="7">
        <v>0.3321</v>
      </c>
      <c r="D8" s="7">
        <v>0.1644</v>
      </c>
      <c r="E8" s="6">
        <v>1618.0</v>
      </c>
    </row>
    <row r="9">
      <c r="A9" s="8"/>
      <c r="B9" s="9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 t="s">
        <v>13</v>
      </c>
      <c r="B10" s="6" t="s">
        <v>14</v>
      </c>
      <c r="C10" s="7">
        <v>0.1511</v>
      </c>
      <c r="D10" s="7">
        <v>0.198</v>
      </c>
      <c r="E10" s="6">
        <v>611.0</v>
      </c>
    </row>
    <row r="11">
      <c r="B11" s="6" t="s">
        <v>15</v>
      </c>
      <c r="C11" s="7">
        <v>0.236</v>
      </c>
      <c r="D11" s="7">
        <v>0.2102</v>
      </c>
      <c r="E11" s="6">
        <v>899.0</v>
      </c>
    </row>
    <row r="12">
      <c r="B12" s="6" t="s">
        <v>16</v>
      </c>
      <c r="C12" s="7">
        <v>0.0587</v>
      </c>
      <c r="D12" s="7">
        <v>0.077</v>
      </c>
      <c r="E12" s="6">
        <v>610.0</v>
      </c>
    </row>
    <row r="13">
      <c r="B13" s="6" t="s">
        <v>17</v>
      </c>
      <c r="C13" s="7">
        <v>0.0312</v>
      </c>
      <c r="D13" s="7">
        <v>0.1033</v>
      </c>
      <c r="E13" s="6">
        <v>242.0</v>
      </c>
    </row>
    <row r="14">
      <c r="B14" s="6" t="s">
        <v>18</v>
      </c>
      <c r="C14" s="7">
        <v>0.0961</v>
      </c>
      <c r="D14" s="7">
        <v>0.0879</v>
      </c>
      <c r="E14" s="6">
        <v>876.0</v>
      </c>
    </row>
    <row r="15">
      <c r="B15" s="6" t="s">
        <v>19</v>
      </c>
      <c r="C15" s="7">
        <v>0.2772</v>
      </c>
      <c r="D15" s="7">
        <v>0.1475</v>
      </c>
      <c r="E15" s="6">
        <v>1505.0</v>
      </c>
    </row>
    <row r="16">
      <c r="B16" s="6" t="s">
        <v>20</v>
      </c>
      <c r="C16" s="7">
        <v>0.0175</v>
      </c>
      <c r="D16" s="7">
        <v>0.1228</v>
      </c>
      <c r="E16" s="6">
        <v>114.0</v>
      </c>
    </row>
    <row r="17">
      <c r="B17" s="6" t="s">
        <v>21</v>
      </c>
      <c r="C17" s="7">
        <v>0.1323</v>
      </c>
      <c r="D17" s="7">
        <v>0.2454</v>
      </c>
      <c r="E17" s="6">
        <v>432.0</v>
      </c>
    </row>
    <row r="18">
      <c r="A18" s="8"/>
      <c r="B18" s="9"/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" t="s">
        <v>22</v>
      </c>
      <c r="B19" s="6" t="s">
        <v>23</v>
      </c>
      <c r="C19" s="7">
        <v>0.2022</v>
      </c>
      <c r="D19" s="7">
        <v>0.0965</v>
      </c>
      <c r="E19" s="6">
        <v>1679.0</v>
      </c>
    </row>
    <row r="20">
      <c r="B20" s="6" t="s">
        <v>24</v>
      </c>
      <c r="C20" s="7">
        <v>0.3571</v>
      </c>
      <c r="D20" s="7">
        <v>0.1639</v>
      </c>
      <c r="E20" s="6">
        <v>1745.0</v>
      </c>
    </row>
    <row r="21">
      <c r="B21" s="6" t="s">
        <v>25</v>
      </c>
      <c r="C21" s="7">
        <v>0.4382</v>
      </c>
      <c r="D21" s="7">
        <v>0.1901</v>
      </c>
      <c r="E21" s="6">
        <v>1846.0</v>
      </c>
    </row>
    <row r="22">
      <c r="A22" s="8"/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5" t="s">
        <v>26</v>
      </c>
      <c r="B23" s="6" t="s">
        <v>27</v>
      </c>
      <c r="C23" s="7">
        <v>0.1074</v>
      </c>
      <c r="D23" s="7">
        <v>0.1463</v>
      </c>
      <c r="E23" s="6">
        <v>588.0</v>
      </c>
    </row>
    <row r="24">
      <c r="B24" s="6" t="s">
        <v>28</v>
      </c>
      <c r="C24" s="7">
        <v>0.1785</v>
      </c>
      <c r="D24" s="7">
        <v>0.185</v>
      </c>
      <c r="E24" s="6">
        <v>773.0</v>
      </c>
    </row>
    <row r="25">
      <c r="B25" s="6" t="s">
        <v>29</v>
      </c>
      <c r="C25" s="7">
        <v>0.2909</v>
      </c>
      <c r="D25" s="7">
        <v>0.2249</v>
      </c>
      <c r="E25" s="6">
        <v>1036.0</v>
      </c>
    </row>
    <row r="26">
      <c r="B26" s="6" t="s">
        <v>30</v>
      </c>
      <c r="C26" s="7">
        <v>0.1798</v>
      </c>
      <c r="D26" s="7">
        <v>0.2474</v>
      </c>
      <c r="E26" s="6">
        <v>582.0</v>
      </c>
    </row>
    <row r="27">
      <c r="B27" s="6" t="s">
        <v>31</v>
      </c>
      <c r="C27" s="7">
        <v>0.0762</v>
      </c>
      <c r="D27" s="7">
        <v>0.2013</v>
      </c>
      <c r="E27" s="6">
        <v>303.0</v>
      </c>
    </row>
    <row r="28">
      <c r="B28" s="6" t="s">
        <v>32</v>
      </c>
      <c r="C28" s="7">
        <v>0.191</v>
      </c>
      <c r="D28" s="7">
        <v>0.2372</v>
      </c>
      <c r="E28" s="6">
        <v>645.0</v>
      </c>
    </row>
    <row r="29">
      <c r="B29" s="6" t="s">
        <v>33</v>
      </c>
      <c r="C29" s="7">
        <v>0.0175</v>
      </c>
      <c r="D29" s="7">
        <v>0.1842</v>
      </c>
      <c r="E29" s="6">
        <v>76.0</v>
      </c>
    </row>
    <row r="30">
      <c r="B30" s="6" t="s">
        <v>34</v>
      </c>
      <c r="C30" s="7">
        <v>0.8851</v>
      </c>
      <c r="D30" s="7">
        <v>0.1837</v>
      </c>
      <c r="E30" s="6">
        <v>3859.0</v>
      </c>
    </row>
    <row r="31">
      <c r="B31" s="6" t="s">
        <v>35</v>
      </c>
      <c r="C31" s="7">
        <v>0.7316</v>
      </c>
      <c r="D31" s="7">
        <v>0.1978</v>
      </c>
      <c r="E31" s="6">
        <v>2962.0</v>
      </c>
    </row>
    <row r="32">
      <c r="B32" s="6" t="s">
        <v>36</v>
      </c>
      <c r="C32" s="7">
        <v>0.4257</v>
      </c>
      <c r="D32" s="7">
        <v>0.2406</v>
      </c>
      <c r="E32" s="6">
        <v>1417.0</v>
      </c>
    </row>
    <row r="33">
      <c r="B33" s="6" t="s">
        <v>37</v>
      </c>
      <c r="C33" s="7">
        <v>0.7066</v>
      </c>
      <c r="D33" s="7">
        <v>0.1604</v>
      </c>
      <c r="E33" s="6">
        <v>3529.0</v>
      </c>
    </row>
    <row r="34">
      <c r="B34" s="6" t="s">
        <v>38</v>
      </c>
      <c r="C34" s="7">
        <v>0.2584</v>
      </c>
      <c r="D34" s="7">
        <v>0.2559</v>
      </c>
      <c r="E34" s="6">
        <v>809.0</v>
      </c>
    </row>
    <row r="35">
      <c r="B35" s="6" t="s">
        <v>39</v>
      </c>
      <c r="C35" s="7">
        <v>0.0811</v>
      </c>
      <c r="D35" s="7">
        <v>0.251</v>
      </c>
      <c r="E35" s="6">
        <v>259.0</v>
      </c>
    </row>
    <row r="37">
      <c r="A37" s="11" t="s">
        <v>40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3" t="s">
        <v>1</v>
      </c>
      <c r="B38" s="3" t="s">
        <v>2</v>
      </c>
      <c r="C38" s="3" t="s">
        <v>3</v>
      </c>
      <c r="D38" s="3" t="s">
        <v>4</v>
      </c>
      <c r="E38" s="3" t="s">
        <v>41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5" t="s">
        <v>42</v>
      </c>
      <c r="B39" s="6" t="s">
        <v>43</v>
      </c>
      <c r="C39" s="7">
        <v>0.2409</v>
      </c>
      <c r="D39" s="7">
        <v>0.1519</v>
      </c>
      <c r="E39" s="6">
        <v>5254.0</v>
      </c>
    </row>
    <row r="40">
      <c r="B40" s="6" t="s">
        <v>44</v>
      </c>
      <c r="C40" s="7">
        <v>0.7591</v>
      </c>
      <c r="D40" s="7">
        <v>0.0857</v>
      </c>
      <c r="E40" s="6">
        <v>35.0</v>
      </c>
    </row>
    <row r="41">
      <c r="A41" s="8"/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5" t="s">
        <v>45</v>
      </c>
      <c r="B42" s="6" t="s">
        <v>46</v>
      </c>
      <c r="C42" s="7">
        <v>0.3714</v>
      </c>
      <c r="D42" s="7">
        <v>0.1195</v>
      </c>
      <c r="E42" s="6">
        <v>1615.0</v>
      </c>
    </row>
    <row r="43">
      <c r="B43" s="6" t="s">
        <v>47</v>
      </c>
      <c r="C43" s="7">
        <v>0.6286</v>
      </c>
      <c r="D43" s="7">
        <v>0.1655</v>
      </c>
      <c r="E43" s="6">
        <v>3674.0</v>
      </c>
    </row>
    <row r="44">
      <c r="A44" s="8"/>
      <c r="B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5" t="s">
        <v>48</v>
      </c>
      <c r="B45" s="6" t="s">
        <v>49</v>
      </c>
      <c r="C45" s="6" t="s">
        <v>50</v>
      </c>
      <c r="D45" s="6" t="s">
        <v>50</v>
      </c>
      <c r="E45" s="6" t="s">
        <v>50</v>
      </c>
    </row>
    <row r="46">
      <c r="B46" s="6" t="s">
        <v>51</v>
      </c>
      <c r="C46" s="7">
        <v>0.0612</v>
      </c>
      <c r="D46" s="7">
        <v>0.0849</v>
      </c>
      <c r="E46" s="6" t="s">
        <v>50</v>
      </c>
    </row>
    <row r="47">
      <c r="A47" s="6"/>
      <c r="B47" s="6" t="s">
        <v>52</v>
      </c>
      <c r="C47" s="7">
        <v>0.0911</v>
      </c>
      <c r="D47" s="7">
        <v>0.0863</v>
      </c>
      <c r="E47" s="6" t="s">
        <v>50</v>
      </c>
    </row>
    <row r="48">
      <c r="B48" s="6" t="s">
        <v>53</v>
      </c>
      <c r="C48" s="7">
        <v>0.1273</v>
      </c>
      <c r="D48" s="7">
        <v>0.0929</v>
      </c>
      <c r="E48" s="6" t="s">
        <v>50</v>
      </c>
    </row>
    <row r="50">
      <c r="A50" s="11" t="s">
        <v>54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3" t="s">
        <v>55</v>
      </c>
      <c r="B51" s="3" t="s">
        <v>56</v>
      </c>
      <c r="C51" s="3" t="s">
        <v>57</v>
      </c>
      <c r="D51" s="3" t="s">
        <v>58</v>
      </c>
      <c r="E51" s="3" t="s">
        <v>59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60</v>
      </c>
      <c r="B52" s="6">
        <v>17.93</v>
      </c>
      <c r="C52" s="6">
        <v>19.64</v>
      </c>
      <c r="D52" s="6">
        <v>0.15</v>
      </c>
      <c r="E52" s="6">
        <v>0.05</v>
      </c>
    </row>
    <row r="53">
      <c r="A53" s="5" t="s">
        <v>61</v>
      </c>
      <c r="B53" s="6">
        <v>3.18</v>
      </c>
      <c r="C53" s="6">
        <v>3.67</v>
      </c>
      <c r="D53" s="6">
        <v>0.2</v>
      </c>
      <c r="E53" s="6">
        <v>0.004</v>
      </c>
    </row>
  </sheetData>
  <mergeCells count="3">
    <mergeCell ref="A1:E1"/>
    <mergeCell ref="A37:E37"/>
    <mergeCell ref="A50:E50"/>
  </mergeCells>
  <conditionalFormatting sqref="D3:D48">
    <cfRule type="colorScale" priority="1">
      <colorScale>
        <cfvo type="formula" val="0.05"/>
        <cfvo type="percentile" val="50"/>
        <cfvo type="formula" val="0.3"/>
        <color rgb="FFFFFFFF"/>
        <color rgb="FFFFE599"/>
        <color rgb="FFE06666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38"/>
    <col customWidth="1" min="3" max="3" width="16.25"/>
    <col customWidth="1" min="4" max="4" width="25.25"/>
    <col customWidth="1" min="5" max="5" width="17.88"/>
    <col customWidth="1" min="6" max="6" width="18.5"/>
  </cols>
  <sheetData>
    <row r="1">
      <c r="A1" s="1" t="s">
        <v>62</v>
      </c>
      <c r="F1" s="1"/>
    </row>
    <row r="2">
      <c r="A2" s="3" t="s">
        <v>1</v>
      </c>
      <c r="B2" s="3" t="s">
        <v>63</v>
      </c>
      <c r="C2" s="3" t="s">
        <v>61</v>
      </c>
      <c r="D2" s="3" t="s">
        <v>64</v>
      </c>
      <c r="E2" s="3" t="s">
        <v>65</v>
      </c>
      <c r="F2" s="3" t="s">
        <v>66</v>
      </c>
    </row>
    <row r="3">
      <c r="A3" s="5" t="s">
        <v>67</v>
      </c>
      <c r="B3" s="6" t="s">
        <v>68</v>
      </c>
      <c r="C3" s="13">
        <v>0.0</v>
      </c>
      <c r="D3" s="7">
        <v>0.0591</v>
      </c>
      <c r="E3" s="5">
        <v>0.0</v>
      </c>
      <c r="F3" s="7">
        <v>0.2428</v>
      </c>
    </row>
    <row r="4">
      <c r="A4" s="5" t="s">
        <v>69</v>
      </c>
      <c r="B4" s="6" t="s">
        <v>70</v>
      </c>
      <c r="C4" s="13">
        <v>1.0</v>
      </c>
      <c r="D4" s="7">
        <v>0.1685</v>
      </c>
      <c r="E4" s="5">
        <v>1.0</v>
      </c>
      <c r="F4" s="7">
        <v>0.3744</v>
      </c>
    </row>
    <row r="5">
      <c r="A5" s="5" t="s">
        <v>71</v>
      </c>
      <c r="B5" s="6" t="s">
        <v>72</v>
      </c>
      <c r="C5" s="13">
        <v>2.0</v>
      </c>
      <c r="D5" s="7">
        <v>0.1942</v>
      </c>
      <c r="E5" s="5">
        <v>2.0</v>
      </c>
      <c r="F5" s="7">
        <v>0.2813</v>
      </c>
    </row>
    <row r="6">
      <c r="A6" s="5" t="s">
        <v>73</v>
      </c>
      <c r="B6" s="6" t="s">
        <v>74</v>
      </c>
      <c r="C6" s="13">
        <v>3.0</v>
      </c>
      <c r="D6" s="7">
        <v>0.2082</v>
      </c>
      <c r="E6" s="5">
        <v>3.0</v>
      </c>
      <c r="F6" s="7">
        <v>0.1016</v>
      </c>
    </row>
    <row r="7">
      <c r="C7" s="13">
        <v>4.0</v>
      </c>
      <c r="D7" s="7">
        <v>0.1471</v>
      </c>
    </row>
    <row r="8">
      <c r="C8" s="13">
        <v>5.0</v>
      </c>
      <c r="D8" s="7">
        <v>0.0842</v>
      </c>
    </row>
    <row r="9">
      <c r="C9" s="13">
        <v>6.0</v>
      </c>
      <c r="D9" s="7">
        <v>0.0548</v>
      </c>
    </row>
    <row r="10">
      <c r="C10" s="13">
        <v>7.0</v>
      </c>
      <c r="D10" s="7">
        <v>0.0257</v>
      </c>
    </row>
    <row r="11">
      <c r="C11" s="13">
        <v>8.0</v>
      </c>
      <c r="D11" s="7">
        <v>0.025</v>
      </c>
    </row>
    <row r="12">
      <c r="C12" s="13">
        <v>9.0</v>
      </c>
      <c r="D12" s="7">
        <v>0.0193</v>
      </c>
    </row>
    <row r="13">
      <c r="C13" s="13">
        <v>10.0</v>
      </c>
      <c r="D13" s="7">
        <v>0.0083</v>
      </c>
    </row>
    <row r="14">
      <c r="C14" s="13">
        <v>11.0</v>
      </c>
      <c r="D14" s="7">
        <v>0.0017</v>
      </c>
    </row>
    <row r="15">
      <c r="C15" s="13">
        <v>12.0</v>
      </c>
      <c r="D15" s="7">
        <v>8.0E-4</v>
      </c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 t="s">
        <v>75</v>
      </c>
    </row>
    <row r="18">
      <c r="A18" s="3" t="s">
        <v>1</v>
      </c>
      <c r="B18" s="3" t="s">
        <v>2</v>
      </c>
      <c r="C18" s="3"/>
      <c r="D18" s="3"/>
      <c r="E18" s="3"/>
    </row>
    <row r="19">
      <c r="A19" s="5" t="s">
        <v>76</v>
      </c>
      <c r="B19" s="6" t="s">
        <v>77</v>
      </c>
      <c r="C19" s="6" t="s">
        <v>78</v>
      </c>
    </row>
    <row r="20">
      <c r="B20" s="6" t="s">
        <v>79</v>
      </c>
      <c r="C20" s="6" t="s">
        <v>80</v>
      </c>
      <c r="D20" s="7"/>
    </row>
    <row r="21">
      <c r="A21" s="6"/>
      <c r="B21" s="6" t="s">
        <v>81</v>
      </c>
      <c r="C21" s="6" t="s">
        <v>82</v>
      </c>
      <c r="D21" s="7"/>
    </row>
    <row r="22">
      <c r="C22" s="7"/>
      <c r="D22" s="7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5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</sheetData>
  <mergeCells count="3">
    <mergeCell ref="A1:E1"/>
    <mergeCell ref="F1:J1"/>
    <mergeCell ref="A17:E17"/>
  </mergeCells>
  <conditionalFormatting sqref="D3:D15">
    <cfRule type="colorScale" priority="1">
      <colorScale>
        <cfvo type="formula" val="0.0008"/>
        <cfvo type="formula" val="0.0548"/>
        <cfvo type="formula" val="0.3"/>
        <color rgb="FFFFFFFF"/>
        <color rgb="FFFFE599"/>
        <color rgb="FFE06666"/>
      </colorScale>
    </cfRule>
  </conditionalFormatting>
  <conditionalFormatting sqref="F3:F6">
    <cfRule type="colorScale" priority="2">
      <colorScale>
        <cfvo type="formula" val="0.0008"/>
        <cfvo type="formula" val="0.25"/>
        <cfvo type="formula" val="0.5"/>
        <color rgb="FFFFFFFF"/>
        <color rgb="FFFFE599"/>
        <color rgb="FFE06666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7.38"/>
    <col customWidth="1" min="3" max="3" width="23.13"/>
    <col customWidth="1" min="4" max="4" width="20.88"/>
    <col customWidth="1" min="5" max="5" width="21.63"/>
    <col customWidth="1" min="6" max="6" width="19.75"/>
  </cols>
  <sheetData>
    <row r="1">
      <c r="A1" s="1" t="s">
        <v>83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88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4" t="s">
        <v>89</v>
      </c>
      <c r="B3" s="15">
        <v>-3.33469019628067</v>
      </c>
      <c r="C3" s="15">
        <v>0.0356256214519333</v>
      </c>
      <c r="D3" s="15">
        <v>0.00931936545810349</v>
      </c>
      <c r="E3" s="15">
        <v>0.136187909953982</v>
      </c>
      <c r="F3" s="16">
        <v>1.09368312247979E-6</v>
      </c>
    </row>
    <row r="4">
      <c r="A4" s="14" t="s">
        <v>90</v>
      </c>
      <c r="B4" s="15">
        <v>0.818649940224735</v>
      </c>
      <c r="C4" s="17">
        <v>2.26743659527735</v>
      </c>
      <c r="D4" s="15">
        <v>0.603580944108891</v>
      </c>
      <c r="E4" s="15">
        <v>8.51794405337526</v>
      </c>
      <c r="F4" s="18">
        <v>0.225393237392114</v>
      </c>
      <c r="H4" s="6" t="s">
        <v>91</v>
      </c>
    </row>
    <row r="5">
      <c r="A5" s="14" t="s">
        <v>92</v>
      </c>
      <c r="B5" s="15">
        <v>-0.0680280829286512</v>
      </c>
      <c r="C5" s="15">
        <v>0.934234237175391</v>
      </c>
      <c r="D5" s="15">
        <v>0.759617477740505</v>
      </c>
      <c r="E5" s="15">
        <v>1.14899095332406</v>
      </c>
      <c r="F5" s="18">
        <v>0.519321205761879</v>
      </c>
      <c r="H5" s="6" t="s">
        <v>91</v>
      </c>
    </row>
    <row r="6">
      <c r="A6" s="14" t="s">
        <v>93</v>
      </c>
      <c r="B6" s="15">
        <v>-0.699844544178916</v>
      </c>
      <c r="C6" s="15">
        <v>0.496662506868227</v>
      </c>
      <c r="D6" s="15">
        <v>0.36479576359443</v>
      </c>
      <c r="E6" s="15">
        <v>0.676196574483459</v>
      </c>
      <c r="F6" s="16">
        <v>8.78088101384314E-6</v>
      </c>
    </row>
    <row r="7">
      <c r="A7" s="14" t="s">
        <v>94</v>
      </c>
      <c r="B7" s="15">
        <v>0.0391801960657243</v>
      </c>
      <c r="C7" s="15">
        <v>1.03995786308257</v>
      </c>
      <c r="D7" s="15">
        <v>1.03189478570063</v>
      </c>
      <c r="E7" s="15">
        <v>1.04808394419103</v>
      </c>
      <c r="F7" s="16">
        <v>5.84565919332454E-23</v>
      </c>
    </row>
    <row r="8">
      <c r="A8" s="14" t="s">
        <v>95</v>
      </c>
      <c r="B8" s="15">
        <v>0.478663743170524</v>
      </c>
      <c r="C8" s="17">
        <v>1.61391635391051</v>
      </c>
      <c r="D8" s="15">
        <v>1.39032598913502</v>
      </c>
      <c r="E8" s="15">
        <v>1.87346422189828</v>
      </c>
      <c r="F8" s="16">
        <v>3.1522048839289E-10</v>
      </c>
    </row>
    <row r="9">
      <c r="A9" s="14" t="s">
        <v>96</v>
      </c>
      <c r="B9" s="15">
        <v>-0.385515654868558</v>
      </c>
      <c r="C9" s="15">
        <v>0.680099848971559</v>
      </c>
      <c r="D9" s="15">
        <v>0.480486939929938</v>
      </c>
      <c r="E9" s="15">
        <v>0.962639701796229</v>
      </c>
      <c r="F9" s="15">
        <v>0.0296482989064277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97</v>
      </c>
      <c r="B10" s="15">
        <v>-0.164838920228618</v>
      </c>
      <c r="C10" s="15">
        <v>0.848030293612535</v>
      </c>
      <c r="D10" s="15">
        <v>0.543765532733927</v>
      </c>
      <c r="E10" s="15">
        <v>1.32254682504206</v>
      </c>
      <c r="F10" s="18">
        <v>0.467224787296698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4" t="s">
        <v>98</v>
      </c>
      <c r="B11" s="15">
        <v>0.346791040560006</v>
      </c>
      <c r="C11" s="17">
        <v>1.41452111694596</v>
      </c>
      <c r="D11" s="15">
        <v>1.06845896927611</v>
      </c>
      <c r="E11" s="15">
        <v>1.87266900070262</v>
      </c>
      <c r="F11" s="15">
        <v>0.0154128719285025</v>
      </c>
    </row>
    <row r="12">
      <c r="A12" s="14" t="s">
        <v>99</v>
      </c>
      <c r="B12" s="15">
        <v>0.348167575966724</v>
      </c>
      <c r="C12" s="17">
        <v>1.41646959611459</v>
      </c>
      <c r="D12" s="15">
        <v>1.127470295361</v>
      </c>
      <c r="E12" s="15">
        <v>1.77954676497675</v>
      </c>
      <c r="F12" s="15">
        <v>0.00278559750529382</v>
      </c>
    </row>
    <row r="13">
      <c r="A13" s="14" t="s">
        <v>100</v>
      </c>
      <c r="B13" s="15">
        <v>-0.046023525457148</v>
      </c>
      <c r="C13" s="15">
        <v>0.955019494656239</v>
      </c>
      <c r="D13" s="15">
        <v>0.531434472851455</v>
      </c>
      <c r="E13" s="15">
        <v>1.71622708304885</v>
      </c>
      <c r="F13" s="18">
        <v>0.877694391955207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4" t="s">
        <v>101</v>
      </c>
      <c r="B14" s="15">
        <v>0.27418969511981</v>
      </c>
      <c r="C14" s="17">
        <v>1.3154643157332</v>
      </c>
      <c r="D14" s="15">
        <v>1.0153925196655</v>
      </c>
      <c r="E14" s="15">
        <v>1.70421421514655</v>
      </c>
      <c r="F14" s="15">
        <v>0.0379312764806645</v>
      </c>
    </row>
    <row r="15">
      <c r="A15" s="14" t="s">
        <v>102</v>
      </c>
      <c r="B15" s="15">
        <v>-0.23797617434262</v>
      </c>
      <c r="C15" s="15">
        <v>0.788221470764752</v>
      </c>
      <c r="D15" s="15">
        <v>0.577758570664123</v>
      </c>
      <c r="E15" s="15">
        <v>1.07535070619616</v>
      </c>
      <c r="F15" s="18">
        <v>0.133206098439334</v>
      </c>
    </row>
    <row r="16">
      <c r="A16" s="8"/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1" t="s">
        <v>103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3" t="s">
        <v>1</v>
      </c>
      <c r="B18" s="3" t="s">
        <v>85</v>
      </c>
      <c r="C18" s="3" t="s">
        <v>86</v>
      </c>
      <c r="D18" s="3" t="s">
        <v>87</v>
      </c>
      <c r="E18" s="3" t="s">
        <v>104</v>
      </c>
      <c r="F18" s="3" t="s">
        <v>105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89</v>
      </c>
      <c r="B19" s="19">
        <v>0.089</v>
      </c>
      <c r="C19" s="6">
        <v>0.076</v>
      </c>
      <c r="D19" s="6">
        <v>0.105</v>
      </c>
      <c r="E19" s="6">
        <v>0.0</v>
      </c>
      <c r="F19" s="6">
        <v>-91.089</v>
      </c>
    </row>
    <row r="20">
      <c r="A20" s="5" t="s">
        <v>106</v>
      </c>
      <c r="B20" s="19">
        <v>2.034</v>
      </c>
      <c r="C20" s="6">
        <v>1.63</v>
      </c>
      <c r="D20" s="6">
        <v>2.537</v>
      </c>
      <c r="E20" s="6">
        <v>0.0</v>
      </c>
      <c r="F20" s="6">
        <v>103.383</v>
      </c>
    </row>
    <row r="21">
      <c r="A21" s="5" t="s">
        <v>107</v>
      </c>
      <c r="B21" s="19">
        <v>2.682</v>
      </c>
      <c r="C21" s="6">
        <v>2.183</v>
      </c>
      <c r="D21" s="6">
        <v>3.295</v>
      </c>
      <c r="E21" s="6">
        <v>0.0</v>
      </c>
      <c r="F21" s="6">
        <v>168.175</v>
      </c>
    </row>
    <row r="22">
      <c r="A22" s="5" t="s">
        <v>108</v>
      </c>
      <c r="B22" s="19">
        <v>4.554</v>
      </c>
      <c r="C22" s="6">
        <v>3.559</v>
      </c>
      <c r="D22" s="6">
        <v>5.825</v>
      </c>
      <c r="E22" s="6">
        <v>0.0</v>
      </c>
      <c r="F22" s="6">
        <v>355.352</v>
      </c>
    </row>
  </sheetData>
  <mergeCells count="2">
    <mergeCell ref="A1:E1"/>
    <mergeCell ref="A17:E17"/>
  </mergeCells>
  <drawing r:id="rId1"/>
</worksheet>
</file>